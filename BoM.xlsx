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<sst xmlns="http://schemas.openxmlformats.org/spreadsheetml/2006/main" count="29" uniqueCount="29">
  <si>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S.No</t>
  </si>
  <si>
    <t>Name of the component</t>
  </si>
  <si>
    <t>Manufacturer part number (MPN)</t>
  </si>
  <si>
    <t>Order code</t>
  </si>
  <si>
    <t>Minimum order quantity (MoQ)</t>
  </si>
  <si>
    <t>Required quantity</t>
  </si>
  <si>
    <t>Unit cost</t>
  </si>
  <si>
    <t>Cost</t>
  </si>
  <si>
    <t>Male Header pins</t>
  </si>
  <si>
    <t>2211SM-10G-B1-TB</t>
  </si>
  <si>
    <t>Female Connector Sockets</t>
  </si>
  <si>
    <t>HDR100IMP40F-G-V-TH</t>
  </si>
  <si>
    <t>Gate Driver IC</t>
  </si>
  <si>
    <t>IR2104PBF</t>
  </si>
  <si>
    <t>MOSFET</t>
  </si>
  <si>
    <t>IRF3205PBF</t>
  </si>
  <si>
    <t>Inductor</t>
  </si>
  <si>
    <t>MSS1278H-823KED</t>
  </si>
  <si>
    <t>Schottky Diode</t>
  </si>
  <si>
    <t>SB140-E3/54</t>
  </si>
  <si>
    <t>Resistor(General)</t>
  </si>
  <si>
    <t>MF25 100K</t>
  </si>
  <si>
    <t>Capacitor(Electrolytic)</t>
  </si>
  <si>
    <t>63SXE33M</t>
  </si>
  <si>
    <t>Resistor(Pull Down)</t>
  </si>
  <si>
    <t>MF25 10R</t>
  </si>
  <si>
    <t>Capacitor(Bootstrap and ceramic)</t>
  </si>
  <si>
    <t>AA105C104K4R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</si>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</sst>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61616"/>
      <name val="Calibri"/>
      <scheme val="minor"/>
    </font>
    <font>
      <color theme="1"/>
      <name val="Calibri"/>
      <scheme val="minor"/>
    </font>
    <font>
      <u/>
      <color rgb="FF0000FF"/>
    </font>
    <font>
      <b/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.element14.com/chip-quik/hdr100imp40f-g-v-th/0-1-40-pin-vertical-female-header/dp/4575017" TargetMode="External"/><Relationship Id="rId2" Type="http://schemas.openxmlformats.org/officeDocument/2006/relationships/hyperlink" Target="https://in.element14.com/infineon/ir2104pbf/driver-mosfet-igbt-half-bridge/dp/8638748" TargetMode="External"/><Relationship Id="rId3" Type="http://schemas.openxmlformats.org/officeDocument/2006/relationships/hyperlink" Target="https://in.element14.com/infineon/irf3205pbf/mosfet-n-55v-110a-to-220/dp/1704017" TargetMode="External"/><Relationship Id="rId4" Type="http://schemas.openxmlformats.org/officeDocument/2006/relationships/hyperlink" Target="https://in.element14.com/coilcraft/mss1278h-823ked/inductor-82uh-shielded-2-4a/dp/3639682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in.element14.com/kyocera-avx/aa105c104k4r/ceramic-capacitor-0-1uf-50v-x7r/dp/1894506" TargetMode="External"/><Relationship Id="rId5" Type="http://schemas.openxmlformats.org/officeDocument/2006/relationships/hyperlink" Target="https://in.element14.com/vishay/sb140-e3-54/diode-schottky-1a-40v-do-204al/dp/2900536" TargetMode="External"/><Relationship Id="rId6" Type="http://schemas.openxmlformats.org/officeDocument/2006/relationships/hyperlink" Target="https://in.element14.com/multicomp-pro/mf25-100k/res-100k-1-0-25w-axial-metal-film/dp/9341129" TargetMode="External"/><Relationship Id="rId7" Type="http://schemas.openxmlformats.org/officeDocument/2006/relationships/hyperlink" Target="https://in.element14.com/panasonic/63sxe33m/cap-33-f-63v-20/dp/2491858" TargetMode="External"/><Relationship Id="rId8" Type="http://schemas.openxmlformats.org/officeDocument/2006/relationships/hyperlink" Target="https://in.element14.com/multicomp-pro/mf25-10r/res-10r-1-250mw-axial-metal-film/dp/9341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57"/>
    <col customWidth="1" min="3" max="3" width="32.0"/>
    <col customWidth="1" min="4" max="4" width="26.14"/>
    <col customWidth="1" min="5" max="5" width="12.43"/>
    <col customWidth="1" min="6" max="6" width="11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array" ref="A2:A21">SEQUENCE(20,1)</f>
        <v>1</v>
      </c>
      <c r="B2" s="4" t="s">
        <v>8</v>
      </c>
      <c r="C2" s="5" t="s">
        <v>9</v>
      </c>
      <c r="D2" s="6">
        <v>2847175.0</v>
      </c>
      <c r="E2" s="4">
        <v>1.0</v>
      </c>
      <c r="F2" s="4">
        <v>2.0</v>
      </c>
      <c r="G2" s="4">
        <v>45.97</v>
      </c>
      <c r="H2" s="3">
        <f t="shared" ref="H2:H21" si="1">F2*G2</f>
        <v>91.94</v>
      </c>
    </row>
    <row r="3">
      <c r="A3" s="3">
        <v>2.0</v>
      </c>
      <c r="B3" s="4" t="s">
        <v>10</v>
      </c>
      <c r="C3" s="5" t="s">
        <v>11</v>
      </c>
      <c r="D3" s="7">
        <v>4575017.0</v>
      </c>
      <c r="E3" s="4">
        <v>1.0</v>
      </c>
      <c r="F3" s="4">
        <v>1.0</v>
      </c>
      <c r="G3" s="4">
        <v>106.7</v>
      </c>
      <c r="H3" s="3">
        <f t="shared" si="1"/>
        <v>106.7</v>
      </c>
    </row>
    <row r="4">
      <c r="A4" s="3">
        <v>3.0</v>
      </c>
      <c r="B4" s="4" t="s">
        <v>12</v>
      </c>
      <c r="C4" s="5" t="s">
        <v>13</v>
      </c>
      <c r="D4" s="7">
        <v>8638748.0</v>
      </c>
      <c r="E4" s="4">
        <v>1.0</v>
      </c>
      <c r="F4" s="4">
        <v>2.0</v>
      </c>
      <c r="G4" s="4">
        <v>308.33</v>
      </c>
      <c r="H4" s="3">
        <f t="shared" si="1"/>
        <v>616.66</v>
      </c>
    </row>
    <row r="5">
      <c r="A5" s="3">
        <v>4.0</v>
      </c>
      <c r="B5" s="4" t="s">
        <v>14</v>
      </c>
      <c r="C5" s="5" t="s">
        <v>15</v>
      </c>
      <c r="D5" s="7">
        <v>1704017.0</v>
      </c>
      <c r="E5" s="4">
        <v>1.0</v>
      </c>
      <c r="F5" s="4">
        <v>4.0</v>
      </c>
      <c r="G5" s="4">
        <v>122.71</v>
      </c>
      <c r="H5" s="3">
        <f t="shared" si="1"/>
        <v>490.84</v>
      </c>
    </row>
    <row r="6">
      <c r="A6" s="3">
        <v>5.0</v>
      </c>
      <c r="B6" s="4" t="s">
        <v>16</v>
      </c>
      <c r="C6" s="5" t="s">
        <v>17</v>
      </c>
      <c r="D6" s="7">
        <v>3639682.0</v>
      </c>
      <c r="E6" s="4">
        <v>1.0</v>
      </c>
      <c r="F6" s="4">
        <v>1.0</v>
      </c>
      <c r="G6" s="4">
        <v>220.98</v>
      </c>
      <c r="H6" s="3">
        <f t="shared" si="1"/>
        <v>220.98</v>
      </c>
    </row>
    <row r="7">
      <c r="A7" s="3">
        <v>6.0</v>
      </c>
      <c r="B7" s="4" t="s">
        <v>18</v>
      </c>
      <c r="C7" s="4" t="s">
        <v>19</v>
      </c>
      <c r="D7" s="7">
        <v>2900536.0</v>
      </c>
      <c r="E7" s="4">
        <v>1.0</v>
      </c>
      <c r="F7" s="4">
        <v>4.0</v>
      </c>
      <c r="G7" s="4">
        <v>33.12</v>
      </c>
      <c r="H7" s="3">
        <f t="shared" si="1"/>
        <v>132.48</v>
      </c>
    </row>
    <row r="8">
      <c r="A8" s="3">
        <v>7.0</v>
      </c>
      <c r="B8" s="4" t="s">
        <v>20</v>
      </c>
      <c r="C8" s="5" t="s">
        <v>21</v>
      </c>
      <c r="D8" s="7">
        <v>9341129.0</v>
      </c>
      <c r="E8" s="4">
        <v>10.0</v>
      </c>
      <c r="F8" s="4">
        <v>10.0</v>
      </c>
      <c r="G8" s="4">
        <v>6.7</v>
      </c>
      <c r="H8" s="3">
        <f t="shared" si="1"/>
        <v>67</v>
      </c>
    </row>
    <row r="9">
      <c r="A9" s="3">
        <v>8.0</v>
      </c>
      <c r="B9" s="4" t="s">
        <v>22</v>
      </c>
      <c r="C9" s="4" t="s">
        <v>23</v>
      </c>
      <c r="D9" s="7">
        <v>2491858.0</v>
      </c>
      <c r="E9" s="4">
        <v>1.0</v>
      </c>
      <c r="F9" s="4">
        <v>4.0</v>
      </c>
      <c r="G9" s="4">
        <v>167.54</v>
      </c>
      <c r="H9" s="3">
        <f t="shared" si="1"/>
        <v>670.16</v>
      </c>
    </row>
    <row r="10">
      <c r="A10" s="3">
        <v>9.0</v>
      </c>
      <c r="B10" s="4" t="s">
        <v>24</v>
      </c>
      <c r="C10" s="4" t="s">
        <v>25</v>
      </c>
      <c r="D10" s="7">
        <v>9341145.0</v>
      </c>
      <c r="E10" s="4">
        <v>10.0</v>
      </c>
      <c r="F10" s="4">
        <v>10.0</v>
      </c>
      <c r="G10" s="4">
        <v>6.61</v>
      </c>
      <c r="H10" s="3">
        <f t="shared" si="1"/>
        <v>66.1</v>
      </c>
    </row>
    <row r="11">
      <c r="A11" s="3">
        <v>10.0</v>
      </c>
      <c r="B11" s="4" t="s">
        <v>26</v>
      </c>
      <c r="C11" s="5" t="s">
        <v>27</v>
      </c>
      <c r="D11" s="7">
        <v>1894506.0</v>
      </c>
      <c r="E11" s="4">
        <v>1.0</v>
      </c>
      <c r="F11" s="4">
        <v>6.0</v>
      </c>
      <c r="G11" s="4">
        <v>49.25</v>
      </c>
      <c r="H11" s="3">
        <f t="shared" si="1"/>
        <v>295.5</v>
      </c>
    </row>
    <row r="12">
      <c r="A12" s="3">
        <v>11.0</v>
      </c>
      <c r="B12" s="3"/>
      <c r="C12" s="3"/>
      <c r="D12" s="3"/>
      <c r="E12" s="3"/>
      <c r="F12" s="3"/>
      <c r="G12" s="3"/>
      <c r="H12" s="3">
        <f t="shared" si="1"/>
        <v>0</v>
      </c>
    </row>
    <row r="13">
      <c r="A13" s="3">
        <v>12.0</v>
      </c>
      <c r="B13" s="3"/>
      <c r="C13" s="3"/>
      <c r="D13" s="3"/>
      <c r="E13" s="3"/>
      <c r="F13" s="3"/>
      <c r="G13" s="3"/>
      <c r="H13" s="3">
        <f t="shared" si="1"/>
        <v>0</v>
      </c>
    </row>
    <row r="14">
      <c r="A14" s="3">
        <v>13.0</v>
      </c>
      <c r="B14" s="3"/>
      <c r="C14" s="3"/>
      <c r="D14" s="3"/>
      <c r="E14" s="3"/>
      <c r="F14" s="3"/>
      <c r="G14" s="3"/>
      <c r="H14" s="3">
        <f t="shared" si="1"/>
        <v>0</v>
      </c>
    </row>
    <row r="15">
      <c r="A15" s="3">
        <v>14.0</v>
      </c>
      <c r="B15" s="3"/>
      <c r="C15" s="3"/>
      <c r="D15" s="3"/>
      <c r="E15" s="3"/>
      <c r="F15" s="3"/>
      <c r="G15" s="3"/>
      <c r="H15" s="3">
        <f t="shared" si="1"/>
        <v>0</v>
      </c>
    </row>
    <row r="16">
      <c r="A16" s="3">
        <v>15.0</v>
      </c>
      <c r="B16" s="3"/>
      <c r="C16" s="3"/>
      <c r="D16" s="3"/>
      <c r="E16" s="3"/>
      <c r="F16" s="3"/>
      <c r="G16" s="3"/>
      <c r="H16" s="3">
        <f t="shared" si="1"/>
        <v>0</v>
      </c>
    </row>
    <row r="17">
      <c r="A17" s="3">
        <v>16.0</v>
      </c>
      <c r="B17" s="3"/>
      <c r="C17" s="3"/>
      <c r="D17" s="3"/>
      <c r="E17" s="3"/>
      <c r="F17" s="3"/>
      <c r="G17" s="3"/>
      <c r="H17" s="3">
        <f t="shared" si="1"/>
        <v>0</v>
      </c>
    </row>
    <row r="18">
      <c r="A18" s="3">
        <v>17.0</v>
      </c>
      <c r="B18" s="3"/>
      <c r="C18" s="3"/>
      <c r="D18" s="3"/>
      <c r="E18" s="3"/>
      <c r="F18" s="3"/>
      <c r="G18" s="3"/>
      <c r="H18" s="3">
        <f t="shared" si="1"/>
        <v>0</v>
      </c>
    </row>
    <row r="19">
      <c r="A19" s="3">
        <v>18.0</v>
      </c>
      <c r="B19" s="3"/>
      <c r="C19" s="3"/>
      <c r="D19" s="3"/>
      <c r="E19" s="3"/>
      <c r="F19" s="3"/>
      <c r="G19" s="3"/>
      <c r="H19" s="3">
        <f t="shared" si="1"/>
        <v>0</v>
      </c>
    </row>
    <row r="20">
      <c r="A20" s="3">
        <v>19.0</v>
      </c>
      <c r="B20" s="3"/>
      <c r="C20" s="3"/>
      <c r="D20" s="3"/>
      <c r="E20" s="3"/>
      <c r="F20" s="3"/>
      <c r="G20" s="3"/>
      <c r="H20" s="3">
        <f t="shared" si="1"/>
        <v>0</v>
      </c>
    </row>
    <row r="21" ht="15.75" customHeight="1">
      <c r="A21" s="3">
        <v>20.0</v>
      </c>
      <c r="B21" s="3"/>
      <c r="C21" s="3"/>
      <c r="D21" s="3"/>
      <c r="E21" s="3"/>
      <c r="F21" s="3"/>
      <c r="G21" s="3"/>
      <c r="H21" s="3">
        <f t="shared" si="1"/>
        <v>0</v>
      </c>
    </row>
    <row r="22" ht="15.75" customHeight="1">
      <c r="G22" s="8" t="s">
        <v>28</v>
      </c>
      <c r="H22" s="8">
        <f>SUM(H2:H21)</f>
        <v>2758.36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21">
    <cfRule type="cellIs" dxfId="0" priority="1" operator="lessThan">
      <formula>$E$2</formula>
    </cfRule>
  </conditionalFormatting>
  <conditionalFormatting sqref="H22">
    <cfRule type="cellIs" dxfId="1" priority="2" operator="greaterThan">
      <formula>2000</formula>
    </cfRule>
  </conditionalFormatting>
  <conditionalFormatting sqref="G2:G21">
    <cfRule type="cellIs" dxfId="0" priority="3" operator="greaterThan">
      <formula>400</formula>
    </cfRule>
  </conditionalFormatting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</hyperlinks>
  <printOptions/>
  <pageMargins bottom="0.75" footer="0.0" header="0.0" left="0.7" right="0.7" top="0.75"/>
  <pageSetup orientation="landscape"/>
  <drawing r:id="rId10"/>
</worksheet>
</file>